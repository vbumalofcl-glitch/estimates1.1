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9287bdd2a4e2459/vkbConstPro/TEST FILE/kpi/estimates backup/estimates1.1/project_estimates/"/>
    </mc:Choice>
  </mc:AlternateContent>
  <xr:revisionPtr revIDLastSave="148" documentId="11_85DF813069B9BD4C3CA01077B00DB016A6B4D5B7" xr6:coauthVersionLast="47" xr6:coauthVersionMax="47" xr10:uidLastSave="{03CEE65D-549A-48E7-99BA-3AEED8175C5C}"/>
  <bookViews>
    <workbookView xWindow="-120" yWindow="-120" windowWidth="38640" windowHeight="15720" xr2:uid="{00000000-000D-0000-FFFF-FFFF00000000}"/>
  </bookViews>
  <sheets>
    <sheet name="BO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1" l="1"/>
  <c r="E24" i="1"/>
  <c r="E26" i="1"/>
</calcChain>
</file>

<file path=xl/sharedStrings.xml><?xml version="1.0" encoding="utf-8"?>
<sst xmlns="http://schemas.openxmlformats.org/spreadsheetml/2006/main" count="535" uniqueCount="213">
  <si>
    <t>Type</t>
  </si>
  <si>
    <t>Item Code</t>
  </si>
  <si>
    <t>Work Description</t>
  </si>
  <si>
    <t>Specification</t>
  </si>
  <si>
    <t>Qty</t>
  </si>
  <si>
    <t>Unit</t>
  </si>
  <si>
    <t>Material Unit Cost</t>
  </si>
  <si>
    <t>Total Material Cost</t>
  </si>
  <si>
    <t>LE Unit Cost</t>
  </si>
  <si>
    <t>Total LEC</t>
  </si>
  <si>
    <t>Grand Total Cost</t>
  </si>
  <si>
    <t>Condition</t>
  </si>
  <si>
    <t>category</t>
  </si>
  <si>
    <t>01.00.00.00</t>
  </si>
  <si>
    <t>PRELIMINARY FOR CIVIL WORKS</t>
  </si>
  <si>
    <t/>
  </si>
  <si>
    <t>subsubcategory</t>
  </si>
  <si>
    <t>01.00.01.00</t>
  </si>
  <si>
    <t>Project Management and Coordination</t>
  </si>
  <si>
    <t>Site management and supervision (technical team)</t>
  </si>
  <si>
    <t>lot</t>
  </si>
  <si>
    <t>CPM</t>
  </si>
  <si>
    <t>01.00.02.00</t>
  </si>
  <si>
    <t>Facility Services Coordination</t>
  </si>
  <si>
    <t>Service vehicle/ transportation</t>
  </si>
  <si>
    <t>01.00.03.00</t>
  </si>
  <si>
    <t>Construction Progress Reporting</t>
  </si>
  <si>
    <t>Schedules/ reports</t>
  </si>
  <si>
    <t>01.00.04.00</t>
  </si>
  <si>
    <t>Health and Safety provisions</t>
  </si>
  <si>
    <t>Site supervision and safety equipments/ provisions</t>
  </si>
  <si>
    <t>01.00.05.00</t>
  </si>
  <si>
    <t xml:space="preserve">Site Security </t>
  </si>
  <si>
    <t>Security personnel</t>
  </si>
  <si>
    <t>01.00.06.00</t>
  </si>
  <si>
    <t>Building Permit, By Owner (Not included in Work)</t>
  </si>
  <si>
    <t>Building Permit, By Owner To Be Assisted By The Gen Con</t>
  </si>
  <si>
    <t>Not included in Work</t>
  </si>
  <si>
    <t>01.00.07.00</t>
  </si>
  <si>
    <t>DENR Permit, By Owner (Not included in Work)</t>
  </si>
  <si>
    <t>DENR Permit, by owner</t>
  </si>
  <si>
    <t>01.00.08.00</t>
  </si>
  <si>
    <t>Quality Control</t>
  </si>
  <si>
    <t>Testing Laboratory Services</t>
  </si>
  <si>
    <t>01.00.09.00</t>
  </si>
  <si>
    <t>Temporary Utilities</t>
  </si>
  <si>
    <t>Temporary Electricity, by owner</t>
  </si>
  <si>
    <t>01.00.10.00</t>
  </si>
  <si>
    <t>Temporary Water, by owner</t>
  </si>
  <si>
    <t>01.00.11.00</t>
  </si>
  <si>
    <t>Field Offices and Sheds</t>
  </si>
  <si>
    <t>Construction Office</t>
  </si>
  <si>
    <t>01.00.12.00</t>
  </si>
  <si>
    <t>Barracks</t>
  </si>
  <si>
    <t>01.00.13.00</t>
  </si>
  <si>
    <t>Sanitary Facilities</t>
  </si>
  <si>
    <t>Temporary septic tank etc</t>
  </si>
  <si>
    <t>01.00.14.00</t>
  </si>
  <si>
    <t>Temporary Barriers and Enclosures</t>
  </si>
  <si>
    <t>Temporary Fencing</t>
  </si>
  <si>
    <t>01.00.15.00</t>
  </si>
  <si>
    <t xml:space="preserve">Construction Waste Management </t>
  </si>
  <si>
    <t>Disposal of construction waste</t>
  </si>
  <si>
    <t>01.00.16.00</t>
  </si>
  <si>
    <t>Closeout Submittals</t>
  </si>
  <si>
    <t xml:space="preserve">As-built drawings </t>
  </si>
  <si>
    <t>02.00.00.00</t>
  </si>
  <si>
    <t>Earth Works &amp; Sub Structures</t>
  </si>
  <si>
    <t>subcategory</t>
  </si>
  <si>
    <t>02.01.00.00</t>
  </si>
  <si>
    <t>RETAINING WALL</t>
  </si>
  <si>
    <t>02.01.01.00</t>
  </si>
  <si>
    <t>Foundation Excavation</t>
  </si>
  <si>
    <t>RW footing excavation</t>
  </si>
  <si>
    <t>cu.m</t>
  </si>
  <si>
    <t>02.01.02.00</t>
  </si>
  <si>
    <t>Earth Disposal</t>
  </si>
  <si>
    <t xml:space="preserve">Hauling and Disposal </t>
  </si>
  <si>
    <t>02.01.03.00</t>
  </si>
  <si>
    <t>kgs</t>
  </si>
  <si>
    <t>02.01.09.00</t>
  </si>
  <si>
    <t>G.I. Tie Wire</t>
  </si>
  <si>
    <t>02.01.15.00</t>
  </si>
  <si>
    <t>Phenolic boards, bracing supports, shoring supports</t>
  </si>
  <si>
    <t>sq.m</t>
  </si>
  <si>
    <t>02.01.22.00</t>
  </si>
  <si>
    <t>100mmØ PVC Pipe</t>
  </si>
  <si>
    <t>Retaining Wall Drain Pipe, Perforated</t>
  </si>
  <si>
    <t>pcs</t>
  </si>
  <si>
    <t>02.01.23.00</t>
  </si>
  <si>
    <t>100mmØ PVC End Cap</t>
  </si>
  <si>
    <t>Retaining Wall Drain Pipe</t>
  </si>
  <si>
    <t>02.01.24.00</t>
  </si>
  <si>
    <t>Filter Drain Geotextile 2m x 50m</t>
  </si>
  <si>
    <t>Retaining Wall Drain Pipe Filter</t>
  </si>
  <si>
    <t>roll</t>
  </si>
  <si>
    <t>02.01.25.00</t>
  </si>
  <si>
    <t>3/4" Gravel</t>
  </si>
  <si>
    <t>Retaining Wall Drain Pipe Filter Gravel</t>
  </si>
  <si>
    <t>02.02.00.00</t>
  </si>
  <si>
    <t>Bored pile works</t>
  </si>
  <si>
    <t>02.02.01.00</t>
  </si>
  <si>
    <t>Earth Excavation</t>
  </si>
  <si>
    <t>Bored Pile Drilling and Excavation - D400mmØ-hole, 9000mm-deep w/ equipment</t>
  </si>
  <si>
    <t>lm</t>
  </si>
  <si>
    <t>02.02.02.00</t>
  </si>
  <si>
    <t>Hauling and Disposal of wet soil on sacks</t>
  </si>
  <si>
    <t>02.02.03.00</t>
  </si>
  <si>
    <t>FDN-GF - Concrete works</t>
  </si>
  <si>
    <t>Piles - 4,000psi; D400mmØ x ±9000mm</t>
  </si>
  <si>
    <t>02.02.04.00</t>
  </si>
  <si>
    <t>FDN-GF - Rebar works</t>
  </si>
  <si>
    <t>Piles - Gr.60 Ø16mm Main Vertical Bars</t>
  </si>
  <si>
    <t>02.02.05.00</t>
  </si>
  <si>
    <t>Piles - Gr.60 Ø10mm Spiral Ties @ 100mm</t>
  </si>
  <si>
    <t>02.02.06.00</t>
  </si>
  <si>
    <t>Piles - G.I. Tie Wire</t>
  </si>
  <si>
    <t>02.02.07.00</t>
  </si>
  <si>
    <t xml:space="preserve">Material Hauling works </t>
  </si>
  <si>
    <t>Gravel, sand, cement etc.</t>
  </si>
  <si>
    <t>02.03.00.00</t>
  </si>
  <si>
    <t>02.03.01.00</t>
  </si>
  <si>
    <t xml:space="preserve">Structural Excavation </t>
  </si>
  <si>
    <t>02.03.02.00</t>
  </si>
  <si>
    <t>02.03.03.00</t>
  </si>
  <si>
    <t>Backfilling and Compaction</t>
  </si>
  <si>
    <t>Excavated Foundation  Compacted backfill in 0.30 m lifts</t>
  </si>
  <si>
    <t>02.03.04.00</t>
  </si>
  <si>
    <t>Gravel Bedding</t>
  </si>
  <si>
    <t>Foundation and Slab-on-Fill - 3/4" Gravel, 50mm-thick</t>
  </si>
  <si>
    <t>02.04.00.00</t>
  </si>
  <si>
    <t>Earth Excavation/Grading (Rear)</t>
  </si>
  <si>
    <t>02.04.01.00</t>
  </si>
  <si>
    <t>Elevated Earth Excavation</t>
  </si>
  <si>
    <t>Cu.m</t>
  </si>
  <si>
    <t>02.04.02.00</t>
  </si>
  <si>
    <t>Earth Disposal and debris disposal</t>
  </si>
  <si>
    <t>02.04.03.00</t>
  </si>
  <si>
    <t>Demolition of Existing House</t>
  </si>
  <si>
    <t>Demolition and jackhammer</t>
  </si>
  <si>
    <t>03.00.00.00</t>
  </si>
  <si>
    <t>STRUCTURAL WORKS</t>
  </si>
  <si>
    <t>03.01.00.00</t>
  </si>
  <si>
    <t>CONCRETE WORKS</t>
  </si>
  <si>
    <t>03.01.01.00</t>
  </si>
  <si>
    <t>Pile Caps (Type A) - 4,000psi; Chamfered Equilateral Triangular Shape; 2630mm-sides x 800mm-depth</t>
  </si>
  <si>
    <t>03.01.02.00</t>
  </si>
  <si>
    <t>Pile Caps (Type B) - 4,000psi; Chamfered Equilateral Triangular Shape; 2630mm-sides x 500mm-depth</t>
  </si>
  <si>
    <t>03.01.03.00</t>
  </si>
  <si>
    <t>Concrete Pedestal - 4,000psi; 500mm x 500mm</t>
  </si>
  <si>
    <t>03.01.04.00</t>
  </si>
  <si>
    <t>Steel Structures (bolts, Plates, I Beams)  (By other Contractor)</t>
  </si>
  <si>
    <t>Errection, Welding Works, Setting Of Bolts And All Metal Works  Such As Stairs, Purlins Etc.</t>
  </si>
  <si>
    <t>By other Contractor</t>
  </si>
  <si>
    <t>03.01.05.00</t>
  </si>
  <si>
    <t>GF-2F - Concrete works</t>
  </si>
  <si>
    <t>Slab-on-fill - 3,500psi; 150mm-thick</t>
  </si>
  <si>
    <t>03.01.06.00</t>
  </si>
  <si>
    <t>2F-3F - Concrete works</t>
  </si>
  <si>
    <t>Slab-on-Steel Deck - 4,000psi; 150mm-thk</t>
  </si>
  <si>
    <t>03.01.07.00</t>
  </si>
  <si>
    <t>3F-RF - Concrete works</t>
  </si>
  <si>
    <t>03.02.00.00</t>
  </si>
  <si>
    <t>REINFORCEMENT WORKS</t>
  </si>
  <si>
    <t>03.02.01.00</t>
  </si>
  <si>
    <t>Pile Caps (Type A) - Gr.60 Ø16mm Top &amp; Bot. B.W.</t>
  </si>
  <si>
    <t>03.02.02.00</t>
  </si>
  <si>
    <t>Pile Caps (Type A) - G.I. Tie Wire</t>
  </si>
  <si>
    <t>03.02.03.00</t>
  </si>
  <si>
    <t>Pile Caps (Type B) - Gr.60 Ø16mm Top &amp; Bot. B.W.</t>
  </si>
  <si>
    <t>03.02.04.00</t>
  </si>
  <si>
    <t>Pile Caps (Type B) - G.I. Tie Wire</t>
  </si>
  <si>
    <t>03.02.05.00</t>
  </si>
  <si>
    <t>GF-2F - Rebar works</t>
  </si>
  <si>
    <t>Concrete Pedestal - Gr.60 Ø20mm Main Vertical Bars</t>
  </si>
  <si>
    <t>03.02.06.00</t>
  </si>
  <si>
    <t>Concrete Pedestal - Gr.40 Ø10mm Lat. Ties</t>
  </si>
  <si>
    <t>03.02.07.00</t>
  </si>
  <si>
    <t>Concrete Pedestal - G.I. Tie Wire</t>
  </si>
  <si>
    <t>03.02.08.00</t>
  </si>
  <si>
    <t>Slab-on-fill - Gr.40 Ø10mm @ 200mm B.W.</t>
  </si>
  <si>
    <t>03.02.09.00</t>
  </si>
  <si>
    <t>Slab-on-fill - G.I. Tie Wire</t>
  </si>
  <si>
    <t>03.02.10.00</t>
  </si>
  <si>
    <t>2F-3F - Rebar works</t>
  </si>
  <si>
    <t>Slab-on-Steel Deck - Gr.40 Ø10mm @ 200mm B.W. Top &amp; Bottom</t>
  </si>
  <si>
    <t>03.02.11.00</t>
  </si>
  <si>
    <t>Slab-on-Steel Deck - G.I. Tie Wire</t>
  </si>
  <si>
    <t>03.02.12.00</t>
  </si>
  <si>
    <t>3F-RF - Rebar works</t>
  </si>
  <si>
    <t>03.02.13.00</t>
  </si>
  <si>
    <t>03.03.00.00</t>
  </si>
  <si>
    <t>FORMS AND SHORING WORKS</t>
  </si>
  <si>
    <t>03.03.01.00</t>
  </si>
  <si>
    <t>FDN-GF - Form works</t>
  </si>
  <si>
    <t>Pile Caps (Type A) - Phenolic boards, bracing supports, shoring supports</t>
  </si>
  <si>
    <t>03.03.02.00</t>
  </si>
  <si>
    <t>Pile Caps (Type B) - Phenolic boards, bracing supports, shoring supports</t>
  </si>
  <si>
    <t>03.03.03.00</t>
  </si>
  <si>
    <t>Concrete Pedestal - Phenolic boards, bracing supports, shoring supports</t>
  </si>
  <si>
    <t>03.03.04.00</t>
  </si>
  <si>
    <t>GF-2F - Form works</t>
  </si>
  <si>
    <t>Slab-on-fill - Phenolic boards, blockout forms, bracing supports</t>
  </si>
  <si>
    <t>03.03.05.00</t>
  </si>
  <si>
    <t>2F-3F - Form works</t>
  </si>
  <si>
    <t>Slab-on-Steel Deck - Shoring Supports, Bracing Supports</t>
  </si>
  <si>
    <t>03.03.06.00</t>
  </si>
  <si>
    <t>3F-RF - Form works</t>
  </si>
  <si>
    <t xml:space="preserve">Section F1 (Front Wall)     </t>
  </si>
  <si>
    <t>Grade 60</t>
  </si>
  <si>
    <t>Grade 40</t>
  </si>
  <si>
    <t>G16 G.I Tie wire</t>
  </si>
  <si>
    <t>4000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</si>
</sst>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topLeftCell="A13" workbookViewId="0">
      <selection activeCell="M33" sqref="M33"/>
    </sheetView>
  </sheetViews>
  <sheetFormatPr defaultRowHeight="15.75" x14ac:dyDescent="0.25"/>
  <cols>
    <col min="1" max="1" width="18.875" customWidth="1"/>
    <col min="2" max="2" width="14.875" customWidth="1"/>
    <col min="3" max="3" width="36.875" customWidth="1"/>
    <col min="4" max="4" width="45.25" customWidth="1"/>
    <col min="5" max="6" width="10.875" customWidth="1"/>
    <col min="7" max="7" width="18.875" customWidth="1"/>
    <col min="8" max="8" width="20.875" customWidth="1"/>
    <col min="9" max="10" width="16.875" customWidth="1"/>
    <col min="11" max="12" width="18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 x14ac:dyDescent="0.25">
      <c r="A3" t="s">
        <v>16</v>
      </c>
      <c r="B3" t="s">
        <v>17</v>
      </c>
      <c r="C3" t="s">
        <v>18</v>
      </c>
      <c r="D3" t="s">
        <v>19</v>
      </c>
      <c r="E3" s="1">
        <v>1</v>
      </c>
      <c r="F3" t="s">
        <v>20</v>
      </c>
      <c r="G3" s="1">
        <v>47601</v>
      </c>
      <c r="H3" s="1">
        <v>47601</v>
      </c>
      <c r="I3" s="1">
        <v>328500</v>
      </c>
      <c r="J3" s="1">
        <v>328500</v>
      </c>
      <c r="K3" s="1">
        <v>376101</v>
      </c>
      <c r="L3" t="s">
        <v>21</v>
      </c>
    </row>
    <row r="4" spans="1:12" x14ac:dyDescent="0.25">
      <c r="A4" t="s">
        <v>16</v>
      </c>
      <c r="B4" t="s">
        <v>22</v>
      </c>
      <c r="C4" t="s">
        <v>23</v>
      </c>
      <c r="D4" t="s">
        <v>24</v>
      </c>
      <c r="E4" s="1">
        <v>1</v>
      </c>
      <c r="F4" t="s">
        <v>20</v>
      </c>
      <c r="G4" s="1">
        <v>0</v>
      </c>
      <c r="H4" t="s">
        <v>15</v>
      </c>
      <c r="I4" s="1">
        <v>365001</v>
      </c>
      <c r="J4" s="1">
        <v>365001</v>
      </c>
      <c r="K4" s="1">
        <v>365001</v>
      </c>
      <c r="L4" t="s">
        <v>21</v>
      </c>
    </row>
    <row r="5" spans="1:12" x14ac:dyDescent="0.25">
      <c r="A5" t="s">
        <v>16</v>
      </c>
      <c r="B5" t="s">
        <v>25</v>
      </c>
      <c r="C5" t="s">
        <v>26</v>
      </c>
      <c r="D5" t="s">
        <v>27</v>
      </c>
      <c r="E5" s="1">
        <v>1</v>
      </c>
      <c r="F5" t="s">
        <v>20</v>
      </c>
      <c r="G5" s="1">
        <v>34001</v>
      </c>
      <c r="H5" s="1">
        <v>34001</v>
      </c>
      <c r="I5" s="1">
        <v>36501</v>
      </c>
      <c r="J5" s="1">
        <v>36501</v>
      </c>
      <c r="K5" s="1">
        <v>70502</v>
      </c>
      <c r="L5" t="s">
        <v>21</v>
      </c>
    </row>
    <row r="6" spans="1:12" x14ac:dyDescent="0.25">
      <c r="A6" t="s">
        <v>16</v>
      </c>
      <c r="B6" t="s">
        <v>28</v>
      </c>
      <c r="C6" t="s">
        <v>29</v>
      </c>
      <c r="D6" t="s">
        <v>30</v>
      </c>
      <c r="E6" s="1">
        <v>1</v>
      </c>
      <c r="F6" t="s">
        <v>20</v>
      </c>
      <c r="G6" s="1">
        <v>0</v>
      </c>
      <c r="H6" t="s">
        <v>15</v>
      </c>
      <c r="I6" s="1">
        <v>36501</v>
      </c>
      <c r="J6" s="1">
        <v>36501</v>
      </c>
      <c r="K6" s="1">
        <v>36501</v>
      </c>
      <c r="L6" t="s">
        <v>21</v>
      </c>
    </row>
    <row r="7" spans="1:12" x14ac:dyDescent="0.25">
      <c r="A7" t="s">
        <v>16</v>
      </c>
      <c r="B7" t="s">
        <v>31</v>
      </c>
      <c r="C7" t="s">
        <v>32</v>
      </c>
      <c r="D7" t="s">
        <v>33</v>
      </c>
      <c r="E7" s="1">
        <v>1</v>
      </c>
      <c r="F7" t="s">
        <v>20</v>
      </c>
      <c r="G7" s="1">
        <v>0</v>
      </c>
      <c r="H7" t="s">
        <v>15</v>
      </c>
      <c r="I7" s="1">
        <v>219000</v>
      </c>
      <c r="J7" s="1">
        <v>219000</v>
      </c>
      <c r="K7" s="1">
        <v>219000</v>
      </c>
      <c r="L7" t="s">
        <v>21</v>
      </c>
    </row>
    <row r="8" spans="1:12" x14ac:dyDescent="0.25">
      <c r="A8" t="s">
        <v>16</v>
      </c>
      <c r="B8" t="s">
        <v>34</v>
      </c>
      <c r="C8" t="s">
        <v>35</v>
      </c>
      <c r="D8" t="s">
        <v>36</v>
      </c>
      <c r="E8" s="1">
        <v>1</v>
      </c>
      <c r="F8" t="s">
        <v>20</v>
      </c>
      <c r="G8" s="1">
        <v>0</v>
      </c>
      <c r="H8" t="s">
        <v>15</v>
      </c>
      <c r="I8" s="1">
        <v>0</v>
      </c>
      <c r="J8" t="s">
        <v>15</v>
      </c>
      <c r="K8" t="s">
        <v>15</v>
      </c>
      <c r="L8" t="s">
        <v>37</v>
      </c>
    </row>
    <row r="9" spans="1:12" x14ac:dyDescent="0.25">
      <c r="A9" t="s">
        <v>16</v>
      </c>
      <c r="B9" t="s">
        <v>38</v>
      </c>
      <c r="C9" t="s">
        <v>39</v>
      </c>
      <c r="D9" t="s">
        <v>40</v>
      </c>
      <c r="E9" s="1">
        <v>1</v>
      </c>
      <c r="F9" t="s">
        <v>20</v>
      </c>
      <c r="G9" s="1">
        <v>0</v>
      </c>
      <c r="H9" t="s">
        <v>15</v>
      </c>
      <c r="I9" s="1">
        <v>0</v>
      </c>
      <c r="J9" t="s">
        <v>15</v>
      </c>
      <c r="K9" t="s">
        <v>15</v>
      </c>
      <c r="L9" t="s">
        <v>37</v>
      </c>
    </row>
    <row r="10" spans="1:12" x14ac:dyDescent="0.25">
      <c r="A10" t="s">
        <v>16</v>
      </c>
      <c r="B10" t="s">
        <v>41</v>
      </c>
      <c r="C10" t="s">
        <v>42</v>
      </c>
      <c r="D10" t="s">
        <v>43</v>
      </c>
      <c r="E10" s="1">
        <v>1</v>
      </c>
      <c r="F10" t="s">
        <v>20</v>
      </c>
      <c r="G10" s="1">
        <v>47601</v>
      </c>
      <c r="H10" s="1">
        <v>47601</v>
      </c>
      <c r="I10" s="1">
        <v>182501</v>
      </c>
      <c r="J10" s="1">
        <v>182501</v>
      </c>
      <c r="K10" s="1">
        <v>230102</v>
      </c>
      <c r="L10" t="s">
        <v>21</v>
      </c>
    </row>
    <row r="11" spans="1:12" x14ac:dyDescent="0.25">
      <c r="A11" t="s">
        <v>16</v>
      </c>
      <c r="B11" t="s">
        <v>44</v>
      </c>
      <c r="C11" t="s">
        <v>45</v>
      </c>
      <c r="D11" t="s">
        <v>46</v>
      </c>
      <c r="E11" s="1">
        <v>1</v>
      </c>
      <c r="F11" t="s">
        <v>20</v>
      </c>
      <c r="G11" s="1">
        <v>0</v>
      </c>
      <c r="H11" t="s">
        <v>15</v>
      </c>
      <c r="I11" s="1">
        <v>0</v>
      </c>
      <c r="J11" t="s">
        <v>15</v>
      </c>
      <c r="K11" t="s">
        <v>15</v>
      </c>
      <c r="L11" t="s">
        <v>21</v>
      </c>
    </row>
    <row r="12" spans="1:12" x14ac:dyDescent="0.25">
      <c r="A12" t="s">
        <v>16</v>
      </c>
      <c r="B12" t="s">
        <v>47</v>
      </c>
      <c r="C12" t="s">
        <v>45</v>
      </c>
      <c r="D12" t="s">
        <v>48</v>
      </c>
      <c r="E12" s="1">
        <v>1</v>
      </c>
      <c r="F12" t="s">
        <v>20</v>
      </c>
      <c r="G12" s="1">
        <v>0</v>
      </c>
      <c r="H12" t="s">
        <v>15</v>
      </c>
      <c r="I12" s="1">
        <v>0</v>
      </c>
      <c r="J12" t="s">
        <v>15</v>
      </c>
      <c r="K12" t="s">
        <v>15</v>
      </c>
      <c r="L12" t="s">
        <v>21</v>
      </c>
    </row>
    <row r="13" spans="1:12" x14ac:dyDescent="0.25">
      <c r="A13" t="s">
        <v>16</v>
      </c>
      <c r="B13" t="s">
        <v>49</v>
      </c>
      <c r="C13" t="s">
        <v>50</v>
      </c>
      <c r="D13" t="s">
        <v>51</v>
      </c>
      <c r="E13" s="1">
        <v>1</v>
      </c>
      <c r="F13" t="s">
        <v>20</v>
      </c>
      <c r="G13" s="1">
        <v>68001</v>
      </c>
      <c r="H13" s="1">
        <v>68001</v>
      </c>
      <c r="I13" s="1">
        <v>73001</v>
      </c>
      <c r="J13" s="1">
        <v>73001</v>
      </c>
      <c r="K13" s="1">
        <v>141002</v>
      </c>
      <c r="L13" t="s">
        <v>21</v>
      </c>
    </row>
    <row r="14" spans="1:12" x14ac:dyDescent="0.25">
      <c r="A14" t="s">
        <v>16</v>
      </c>
      <c r="B14" t="s">
        <v>52</v>
      </c>
      <c r="C14" t="s">
        <v>50</v>
      </c>
      <c r="D14" t="s">
        <v>53</v>
      </c>
      <c r="E14" s="1">
        <v>1</v>
      </c>
      <c r="F14" t="s">
        <v>20</v>
      </c>
      <c r="G14" s="1">
        <v>68001</v>
      </c>
      <c r="H14" s="1">
        <v>68001</v>
      </c>
      <c r="I14" s="1">
        <v>73001</v>
      </c>
      <c r="J14" s="1">
        <v>73001</v>
      </c>
      <c r="K14" s="1">
        <v>141002</v>
      </c>
      <c r="L14" t="s">
        <v>21</v>
      </c>
    </row>
    <row r="15" spans="1:12" x14ac:dyDescent="0.25">
      <c r="A15" t="s">
        <v>16</v>
      </c>
      <c r="B15" t="s">
        <v>54</v>
      </c>
      <c r="C15" t="s">
        <v>55</v>
      </c>
      <c r="D15" t="s">
        <v>56</v>
      </c>
      <c r="E15" s="1">
        <v>1</v>
      </c>
      <c r="F15" t="s">
        <v>20</v>
      </c>
      <c r="G15" s="1">
        <v>34001</v>
      </c>
      <c r="H15" s="1">
        <v>34001</v>
      </c>
      <c r="I15" s="1">
        <v>36501</v>
      </c>
      <c r="J15" s="1">
        <v>36501</v>
      </c>
      <c r="K15" s="1">
        <v>70502</v>
      </c>
      <c r="L15" t="s">
        <v>21</v>
      </c>
    </row>
    <row r="16" spans="1:12" x14ac:dyDescent="0.25">
      <c r="A16" t="s">
        <v>16</v>
      </c>
      <c r="B16" t="s">
        <v>57</v>
      </c>
      <c r="C16" t="s">
        <v>58</v>
      </c>
      <c r="D16" t="s">
        <v>59</v>
      </c>
      <c r="E16" s="1">
        <v>1</v>
      </c>
      <c r="F16" t="s">
        <v>20</v>
      </c>
      <c r="G16" s="1">
        <v>30601</v>
      </c>
      <c r="H16" s="1">
        <v>30601</v>
      </c>
      <c r="I16" s="1">
        <v>32850</v>
      </c>
      <c r="J16" s="1">
        <v>32850</v>
      </c>
      <c r="K16" s="1">
        <v>63451</v>
      </c>
      <c r="L16" t="s">
        <v>21</v>
      </c>
    </row>
    <row r="17" spans="1:12" x14ac:dyDescent="0.25">
      <c r="A17" t="s">
        <v>16</v>
      </c>
      <c r="B17" t="s">
        <v>60</v>
      </c>
      <c r="C17" t="s">
        <v>61</v>
      </c>
      <c r="D17" t="s">
        <v>62</v>
      </c>
      <c r="E17" s="1">
        <v>1</v>
      </c>
      <c r="F17" t="s">
        <v>20</v>
      </c>
      <c r="G17" s="1">
        <v>68001</v>
      </c>
      <c r="H17" s="1">
        <v>68001</v>
      </c>
      <c r="I17" s="1">
        <v>146001</v>
      </c>
      <c r="J17" s="1">
        <v>146001</v>
      </c>
      <c r="K17" s="1">
        <v>214002</v>
      </c>
      <c r="L17" t="s">
        <v>21</v>
      </c>
    </row>
    <row r="18" spans="1:12" x14ac:dyDescent="0.25">
      <c r="A18" t="s">
        <v>16</v>
      </c>
      <c r="B18" t="s">
        <v>63</v>
      </c>
      <c r="C18" t="s">
        <v>64</v>
      </c>
      <c r="D18" t="s">
        <v>65</v>
      </c>
      <c r="E18" s="1">
        <v>1</v>
      </c>
      <c r="F18" t="s">
        <v>20</v>
      </c>
      <c r="G18" s="1">
        <v>0</v>
      </c>
      <c r="H18" t="s">
        <v>15</v>
      </c>
      <c r="I18" s="1">
        <v>63710</v>
      </c>
      <c r="J18" s="1">
        <v>63710</v>
      </c>
      <c r="K18" s="1">
        <v>63710</v>
      </c>
      <c r="L18" t="s">
        <v>21</v>
      </c>
    </row>
    <row r="19" spans="1:12" x14ac:dyDescent="0.25">
      <c r="A19" t="s">
        <v>12</v>
      </c>
      <c r="B19" t="s">
        <v>66</v>
      </c>
      <c r="C19" t="s">
        <v>67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25">
      <c r="A20" t="s">
        <v>68</v>
      </c>
      <c r="B20" t="s">
        <v>69</v>
      </c>
      <c r="C20" t="s">
        <v>70</v>
      </c>
      <c r="D20" t="s">
        <v>15</v>
      </c>
      <c r="E20" t="s">
        <v>15</v>
      </c>
      <c r="F20" t="s">
        <v>15</v>
      </c>
      <c r="G20" t="s">
        <v>15</v>
      </c>
      <c r="H20" s="1">
        <v>3961769</v>
      </c>
      <c r="I20" t="s">
        <v>15</v>
      </c>
      <c r="J20" s="1">
        <v>1945557</v>
      </c>
      <c r="K20" s="1">
        <v>5907326</v>
      </c>
      <c r="L20" t="s">
        <v>15</v>
      </c>
    </row>
    <row r="21" spans="1:12" x14ac:dyDescent="0.25">
      <c r="A21" t="s">
        <v>16</v>
      </c>
      <c r="B21" t="s">
        <v>71</v>
      </c>
      <c r="C21" t="s">
        <v>72</v>
      </c>
      <c r="D21" t="s">
        <v>73</v>
      </c>
      <c r="E21" s="1">
        <v>160</v>
      </c>
      <c r="F21" t="s">
        <v>74</v>
      </c>
      <c r="G21" s="1">
        <v>0</v>
      </c>
      <c r="H21" t="s">
        <v>15</v>
      </c>
      <c r="I21" s="1">
        <v>527</v>
      </c>
      <c r="J21" s="1">
        <v>84320</v>
      </c>
      <c r="K21" s="1">
        <v>84320</v>
      </c>
      <c r="L21" t="s">
        <v>21</v>
      </c>
    </row>
    <row r="22" spans="1:12" x14ac:dyDescent="0.25">
      <c r="A22" t="s">
        <v>16</v>
      </c>
      <c r="B22" t="s">
        <v>75</v>
      </c>
      <c r="C22" t="s">
        <v>76</v>
      </c>
      <c r="D22" t="s">
        <v>77</v>
      </c>
      <c r="E22" s="1">
        <v>272</v>
      </c>
      <c r="F22" t="s">
        <v>74</v>
      </c>
      <c r="G22" s="1">
        <v>115</v>
      </c>
      <c r="H22" s="1">
        <v>31280</v>
      </c>
      <c r="I22" s="1">
        <v>624</v>
      </c>
      <c r="J22" s="1">
        <v>169728</v>
      </c>
      <c r="K22" s="1">
        <v>201008</v>
      </c>
      <c r="L22" t="s">
        <v>21</v>
      </c>
    </row>
    <row r="23" spans="1:12" x14ac:dyDescent="0.25">
      <c r="A23" t="s">
        <v>16</v>
      </c>
      <c r="B23" t="s">
        <v>78</v>
      </c>
      <c r="C23" t="s">
        <v>208</v>
      </c>
      <c r="D23" t="s">
        <v>212</v>
      </c>
      <c r="E23">
        <v>185</v>
      </c>
      <c r="F23" t="s">
        <v>74</v>
      </c>
      <c r="G23" s="1">
        <v>10200</v>
      </c>
      <c r="H23" s="1">
        <v>732021</v>
      </c>
      <c r="I23" s="1">
        <v>2921</v>
      </c>
      <c r="J23" s="1">
        <v>201549</v>
      </c>
      <c r="K23" s="1">
        <v>933570</v>
      </c>
      <c r="L23" t="s">
        <v>21</v>
      </c>
    </row>
    <row r="24" spans="1:12" x14ac:dyDescent="0.25">
      <c r="A24" t="s">
        <v>16</v>
      </c>
      <c r="B24" t="s">
        <v>80</v>
      </c>
      <c r="C24" t="s">
        <v>208</v>
      </c>
      <c r="D24" t="s">
        <v>209</v>
      </c>
      <c r="E24" s="1">
        <f>10657*1.05</f>
        <v>11189.85</v>
      </c>
      <c r="F24" t="s">
        <v>79</v>
      </c>
      <c r="G24" s="1">
        <v>76</v>
      </c>
      <c r="H24" s="1"/>
      <c r="I24" s="1">
        <v>38</v>
      </c>
      <c r="J24" s="1"/>
      <c r="K24" s="1"/>
      <c r="L24" t="s">
        <v>21</v>
      </c>
    </row>
    <row r="25" spans="1:12" x14ac:dyDescent="0.25">
      <c r="A25" t="s">
        <v>16</v>
      </c>
      <c r="C25" t="s">
        <v>208</v>
      </c>
      <c r="D25" t="s">
        <v>210</v>
      </c>
      <c r="E25" s="1">
        <f>1713*1.05</f>
        <v>1798.65</v>
      </c>
      <c r="F25" t="s">
        <v>79</v>
      </c>
      <c r="G25" s="1">
        <v>75</v>
      </c>
      <c r="H25" s="1"/>
      <c r="I25" s="1">
        <v>38</v>
      </c>
      <c r="J25" s="1"/>
      <c r="K25" s="1"/>
    </row>
    <row r="26" spans="1:12" x14ac:dyDescent="0.25">
      <c r="A26" t="s">
        <v>16</v>
      </c>
      <c r="B26" t="s">
        <v>82</v>
      </c>
      <c r="C26" t="s">
        <v>81</v>
      </c>
      <c r="D26" t="s">
        <v>211</v>
      </c>
      <c r="E26" s="1">
        <f>SUM(E24:E25)*0.03</f>
        <v>389.65499999999997</v>
      </c>
      <c r="F26" t="s">
        <v>79</v>
      </c>
      <c r="G26" s="1">
        <v>137</v>
      </c>
      <c r="H26" s="1"/>
      <c r="I26" s="1">
        <v>66</v>
      </c>
      <c r="J26" s="1"/>
      <c r="K26" s="1"/>
      <c r="L26" t="s">
        <v>21</v>
      </c>
    </row>
    <row r="27" spans="1:12" x14ac:dyDescent="0.25">
      <c r="A27" t="s">
        <v>16</v>
      </c>
      <c r="C27" t="s">
        <v>208</v>
      </c>
      <c r="D27" s="2" t="s">
        <v>83</v>
      </c>
      <c r="E27" s="1">
        <v>717</v>
      </c>
      <c r="F27" t="s">
        <v>84</v>
      </c>
      <c r="G27" s="1">
        <v>600</v>
      </c>
      <c r="H27" s="1"/>
      <c r="I27" s="1">
        <v>600</v>
      </c>
      <c r="J27" s="1"/>
      <c r="K27" s="1"/>
    </row>
    <row r="28" spans="1:12" x14ac:dyDescent="0.25">
      <c r="A28" t="s">
        <v>16</v>
      </c>
      <c r="B28" t="s">
        <v>85</v>
      </c>
      <c r="C28" t="s">
        <v>86</v>
      </c>
      <c r="D28" t="s">
        <v>87</v>
      </c>
      <c r="E28" s="1">
        <v>27</v>
      </c>
      <c r="F28" t="s">
        <v>88</v>
      </c>
      <c r="G28" s="1">
        <v>1113</v>
      </c>
      <c r="H28" s="1">
        <v>30051</v>
      </c>
      <c r="I28" s="1">
        <v>553</v>
      </c>
      <c r="J28" s="1">
        <v>14931</v>
      </c>
      <c r="K28" s="1">
        <v>44982</v>
      </c>
      <c r="L28" t="s">
        <v>21</v>
      </c>
    </row>
    <row r="29" spans="1:12" x14ac:dyDescent="0.25">
      <c r="A29" t="s">
        <v>16</v>
      </c>
      <c r="B29" t="s">
        <v>89</v>
      </c>
      <c r="C29" t="s">
        <v>90</v>
      </c>
      <c r="D29" t="s">
        <v>91</v>
      </c>
      <c r="E29" s="1">
        <v>154</v>
      </c>
      <c r="F29" t="s">
        <v>88</v>
      </c>
      <c r="G29" s="1">
        <v>91</v>
      </c>
      <c r="H29" s="1">
        <v>14014</v>
      </c>
      <c r="I29" s="1">
        <v>42</v>
      </c>
      <c r="J29" s="1">
        <v>6468</v>
      </c>
      <c r="K29" s="1">
        <v>20482</v>
      </c>
      <c r="L29" t="s">
        <v>21</v>
      </c>
    </row>
    <row r="30" spans="1:12" x14ac:dyDescent="0.25">
      <c r="A30" t="s">
        <v>16</v>
      </c>
      <c r="B30" t="s">
        <v>92</v>
      </c>
      <c r="C30" t="s">
        <v>93</v>
      </c>
      <c r="D30" t="s">
        <v>94</v>
      </c>
      <c r="E30" s="1">
        <v>2</v>
      </c>
      <c r="F30" t="s">
        <v>95</v>
      </c>
      <c r="G30" s="1">
        <v>8400</v>
      </c>
      <c r="H30" s="1">
        <v>16800</v>
      </c>
      <c r="I30" s="1">
        <v>4000</v>
      </c>
      <c r="J30" s="1">
        <v>8000</v>
      </c>
      <c r="K30" s="1">
        <v>24800</v>
      </c>
      <c r="L30" t="s">
        <v>21</v>
      </c>
    </row>
    <row r="31" spans="1:12" x14ac:dyDescent="0.25">
      <c r="A31" t="s">
        <v>16</v>
      </c>
      <c r="B31" t="s">
        <v>96</v>
      </c>
      <c r="C31" t="s">
        <v>97</v>
      </c>
      <c r="D31" t="s">
        <v>98</v>
      </c>
      <c r="E31" s="1">
        <v>8</v>
      </c>
      <c r="F31" t="s">
        <v>74</v>
      </c>
      <c r="G31" s="1">
        <v>2100</v>
      </c>
      <c r="H31" s="1">
        <v>16800</v>
      </c>
      <c r="I31" s="1">
        <v>1100</v>
      </c>
      <c r="J31" s="1">
        <v>8800</v>
      </c>
      <c r="K31" s="1">
        <v>25600</v>
      </c>
      <c r="L31" t="s">
        <v>21</v>
      </c>
    </row>
    <row r="32" spans="1:12" x14ac:dyDescent="0.25">
      <c r="A32" t="s">
        <v>68</v>
      </c>
      <c r="B32" t="s">
        <v>99</v>
      </c>
      <c r="C32" t="s">
        <v>100</v>
      </c>
      <c r="D32" t="s">
        <v>15</v>
      </c>
      <c r="E32" t="s">
        <v>15</v>
      </c>
      <c r="F32" t="s">
        <v>15</v>
      </c>
      <c r="G32" t="s">
        <v>15</v>
      </c>
      <c r="H32" s="1">
        <v>3586988</v>
      </c>
      <c r="I32" t="s">
        <v>15</v>
      </c>
      <c r="J32" s="1">
        <v>4129372</v>
      </c>
      <c r="K32" s="1">
        <v>7716360</v>
      </c>
      <c r="L32" t="s">
        <v>15</v>
      </c>
    </row>
    <row r="33" spans="1:12" x14ac:dyDescent="0.25">
      <c r="A33" t="s">
        <v>16</v>
      </c>
      <c r="B33" t="s">
        <v>101</v>
      </c>
      <c r="C33" t="s">
        <v>102</v>
      </c>
      <c r="D33" t="s">
        <v>103</v>
      </c>
      <c r="E33" s="1">
        <v>676</v>
      </c>
      <c r="F33" t="s">
        <v>104</v>
      </c>
      <c r="G33" s="1">
        <v>817</v>
      </c>
      <c r="H33" s="1">
        <v>552292</v>
      </c>
      <c r="I33" s="1">
        <v>3359</v>
      </c>
      <c r="J33" s="1">
        <v>2270684</v>
      </c>
      <c r="K33" s="1">
        <v>2822976</v>
      </c>
      <c r="L33" t="s">
        <v>21</v>
      </c>
    </row>
    <row r="34" spans="1:12" x14ac:dyDescent="0.25">
      <c r="A34" t="s">
        <v>16</v>
      </c>
      <c r="B34" t="s">
        <v>105</v>
      </c>
      <c r="C34" t="s">
        <v>76</v>
      </c>
      <c r="D34" t="s">
        <v>106</v>
      </c>
      <c r="E34" s="1">
        <v>255</v>
      </c>
      <c r="F34" t="s">
        <v>74</v>
      </c>
      <c r="G34" s="1">
        <v>817</v>
      </c>
      <c r="H34" s="1">
        <v>208335</v>
      </c>
      <c r="I34" s="1">
        <v>1899</v>
      </c>
      <c r="J34" s="1">
        <v>484245</v>
      </c>
      <c r="K34" s="1">
        <v>692580</v>
      </c>
      <c r="L34" t="s">
        <v>21</v>
      </c>
    </row>
    <row r="35" spans="1:12" x14ac:dyDescent="0.25">
      <c r="A35" t="s">
        <v>16</v>
      </c>
      <c r="B35" t="s">
        <v>107</v>
      </c>
      <c r="C35" t="s">
        <v>108</v>
      </c>
      <c r="D35" t="s">
        <v>109</v>
      </c>
      <c r="E35" s="1">
        <v>107</v>
      </c>
      <c r="F35" t="s">
        <v>74</v>
      </c>
      <c r="G35" s="1">
        <v>10609</v>
      </c>
      <c r="H35" s="1">
        <v>1135163</v>
      </c>
      <c r="I35" s="1">
        <v>2921</v>
      </c>
      <c r="J35" s="1">
        <v>312547</v>
      </c>
      <c r="K35" s="1">
        <v>1447710</v>
      </c>
      <c r="L35" t="s">
        <v>21</v>
      </c>
    </row>
    <row r="36" spans="1:12" x14ac:dyDescent="0.25">
      <c r="A36" t="s">
        <v>16</v>
      </c>
      <c r="B36" t="s">
        <v>110</v>
      </c>
      <c r="C36" t="s">
        <v>111</v>
      </c>
      <c r="D36" t="s">
        <v>112</v>
      </c>
      <c r="E36" s="1">
        <v>14313</v>
      </c>
      <c r="F36" t="s">
        <v>79</v>
      </c>
      <c r="G36" s="1">
        <v>76</v>
      </c>
      <c r="H36" s="1">
        <v>1087788</v>
      </c>
      <c r="I36" s="1">
        <v>38</v>
      </c>
      <c r="J36" s="1">
        <v>543894</v>
      </c>
      <c r="K36" s="1">
        <v>1631682</v>
      </c>
      <c r="L36" t="s">
        <v>21</v>
      </c>
    </row>
    <row r="37" spans="1:12" x14ac:dyDescent="0.25">
      <c r="A37" t="s">
        <v>16</v>
      </c>
      <c r="B37" t="s">
        <v>113</v>
      </c>
      <c r="C37" t="s">
        <v>111</v>
      </c>
      <c r="D37" t="s">
        <v>114</v>
      </c>
      <c r="E37" s="1">
        <v>5672</v>
      </c>
      <c r="F37" t="s">
        <v>79</v>
      </c>
      <c r="G37" s="1">
        <v>76</v>
      </c>
      <c r="H37" s="1">
        <v>431072</v>
      </c>
      <c r="I37" s="1">
        <v>38</v>
      </c>
      <c r="J37" s="1">
        <v>215536</v>
      </c>
      <c r="K37" s="1">
        <v>646608</v>
      </c>
      <c r="L37" t="s">
        <v>21</v>
      </c>
    </row>
    <row r="38" spans="1:12" x14ac:dyDescent="0.25">
      <c r="A38" t="s">
        <v>16</v>
      </c>
      <c r="B38" t="s">
        <v>115</v>
      </c>
      <c r="C38" t="s">
        <v>111</v>
      </c>
      <c r="D38" t="s">
        <v>116</v>
      </c>
      <c r="E38" s="1">
        <v>601</v>
      </c>
      <c r="F38" t="s">
        <v>79</v>
      </c>
      <c r="G38" s="1">
        <v>137</v>
      </c>
      <c r="H38" s="1">
        <v>82337</v>
      </c>
      <c r="I38" s="1">
        <v>66</v>
      </c>
      <c r="J38" s="1">
        <v>39666</v>
      </c>
      <c r="K38" s="1">
        <v>122003</v>
      </c>
      <c r="L38" t="s">
        <v>21</v>
      </c>
    </row>
    <row r="39" spans="1:12" x14ac:dyDescent="0.25">
      <c r="A39" t="s">
        <v>16</v>
      </c>
      <c r="B39" t="s">
        <v>117</v>
      </c>
      <c r="C39" t="s">
        <v>118</v>
      </c>
      <c r="D39" t="s">
        <v>119</v>
      </c>
      <c r="E39" s="1">
        <v>1</v>
      </c>
      <c r="F39" t="s">
        <v>20</v>
      </c>
      <c r="G39" s="1">
        <v>90001</v>
      </c>
      <c r="H39" s="1">
        <v>90001</v>
      </c>
      <c r="I39" s="1">
        <v>262800</v>
      </c>
      <c r="J39" s="1">
        <v>262800</v>
      </c>
      <c r="K39" s="1">
        <v>352801</v>
      </c>
      <c r="L39" t="s">
        <v>21</v>
      </c>
    </row>
    <row r="40" spans="1:12" x14ac:dyDescent="0.25">
      <c r="A40" t="s">
        <v>68</v>
      </c>
      <c r="B40" t="s">
        <v>120</v>
      </c>
      <c r="C40" t="s">
        <v>72</v>
      </c>
      <c r="D40" t="s">
        <v>15</v>
      </c>
      <c r="E40" t="s">
        <v>15</v>
      </c>
      <c r="F40" t="s">
        <v>15</v>
      </c>
      <c r="G40" t="s">
        <v>15</v>
      </c>
      <c r="H40" s="1">
        <v>415065</v>
      </c>
      <c r="I40" t="s">
        <v>15</v>
      </c>
      <c r="J40" s="1">
        <v>1906650</v>
      </c>
      <c r="K40" s="1">
        <v>2321715</v>
      </c>
      <c r="L40" t="s">
        <v>15</v>
      </c>
    </row>
    <row r="41" spans="1:12" x14ac:dyDescent="0.25">
      <c r="A41" t="s">
        <v>16</v>
      </c>
      <c r="B41" t="s">
        <v>121</v>
      </c>
      <c r="C41" t="s">
        <v>102</v>
      </c>
      <c r="D41" t="s">
        <v>122</v>
      </c>
      <c r="E41" s="1">
        <v>441</v>
      </c>
      <c r="F41" t="s">
        <v>74</v>
      </c>
      <c r="G41" s="1">
        <v>0</v>
      </c>
      <c r="H41" t="s">
        <v>15</v>
      </c>
      <c r="I41" s="1">
        <v>527</v>
      </c>
      <c r="J41" s="1">
        <v>232407</v>
      </c>
      <c r="K41" s="1">
        <v>232407</v>
      </c>
      <c r="L41" t="s">
        <v>21</v>
      </c>
    </row>
    <row r="42" spans="1:12" x14ac:dyDescent="0.25">
      <c r="A42" t="s">
        <v>16</v>
      </c>
      <c r="B42" t="s">
        <v>123</v>
      </c>
      <c r="C42" t="s">
        <v>76</v>
      </c>
      <c r="D42" t="s">
        <v>77</v>
      </c>
      <c r="E42" s="1">
        <v>1953</v>
      </c>
      <c r="F42" t="s">
        <v>74</v>
      </c>
      <c r="G42" s="1">
        <v>115</v>
      </c>
      <c r="H42" s="1">
        <v>224595</v>
      </c>
      <c r="I42" s="1">
        <v>624</v>
      </c>
      <c r="J42" s="1">
        <v>1218672</v>
      </c>
      <c r="K42" s="1">
        <v>1443267</v>
      </c>
      <c r="L42" t="s">
        <v>21</v>
      </c>
    </row>
    <row r="43" spans="1:12" x14ac:dyDescent="0.25">
      <c r="A43" t="s">
        <v>16</v>
      </c>
      <c r="B43" t="s">
        <v>124</v>
      </c>
      <c r="C43" t="s">
        <v>125</v>
      </c>
      <c r="D43" t="s">
        <v>126</v>
      </c>
      <c r="E43" s="1">
        <v>857</v>
      </c>
      <c r="F43" t="s">
        <v>84</v>
      </c>
      <c r="G43" s="1">
        <v>0</v>
      </c>
      <c r="H43" t="s">
        <v>15</v>
      </c>
      <c r="I43" s="1">
        <v>293</v>
      </c>
      <c r="J43" s="1">
        <v>251101</v>
      </c>
      <c r="K43" s="1">
        <v>251101</v>
      </c>
      <c r="L43" t="s">
        <v>21</v>
      </c>
    </row>
    <row r="44" spans="1:12" x14ac:dyDescent="0.25">
      <c r="A44" t="s">
        <v>16</v>
      </c>
      <c r="B44" t="s">
        <v>127</v>
      </c>
      <c r="C44" t="s">
        <v>128</v>
      </c>
      <c r="D44" t="s">
        <v>129</v>
      </c>
      <c r="E44" s="1">
        <v>70</v>
      </c>
      <c r="F44" t="s">
        <v>74</v>
      </c>
      <c r="G44" s="1">
        <v>2721</v>
      </c>
      <c r="H44" s="1">
        <v>190470</v>
      </c>
      <c r="I44" s="1">
        <v>2921</v>
      </c>
      <c r="J44" s="1">
        <v>204470</v>
      </c>
      <c r="K44" s="1">
        <v>394940</v>
      </c>
      <c r="L44" t="s">
        <v>21</v>
      </c>
    </row>
    <row r="45" spans="1:12" x14ac:dyDescent="0.25">
      <c r="A45" t="s">
        <v>68</v>
      </c>
      <c r="B45" t="s">
        <v>130</v>
      </c>
      <c r="C45" t="s">
        <v>131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s="1">
        <v>1889328</v>
      </c>
      <c r="K45" s="1">
        <v>1889328</v>
      </c>
      <c r="L45" t="s">
        <v>15</v>
      </c>
    </row>
    <row r="46" spans="1:12" x14ac:dyDescent="0.25">
      <c r="A46" t="s">
        <v>16</v>
      </c>
      <c r="B46" t="s">
        <v>132</v>
      </c>
      <c r="C46" t="s">
        <v>102</v>
      </c>
      <c r="D46" t="s">
        <v>133</v>
      </c>
      <c r="E46" s="1">
        <v>1008</v>
      </c>
      <c r="F46" t="s">
        <v>134</v>
      </c>
      <c r="G46" s="1">
        <v>0</v>
      </c>
      <c r="H46" t="s">
        <v>15</v>
      </c>
      <c r="I46" s="1">
        <v>527</v>
      </c>
      <c r="J46" s="1">
        <v>531216</v>
      </c>
      <c r="K46" s="1">
        <v>531216</v>
      </c>
      <c r="L46" t="s">
        <v>21</v>
      </c>
    </row>
    <row r="47" spans="1:12" x14ac:dyDescent="0.25">
      <c r="A47" t="s">
        <v>16</v>
      </c>
      <c r="B47" t="s">
        <v>135</v>
      </c>
      <c r="C47" t="s">
        <v>136</v>
      </c>
      <c r="D47" t="s">
        <v>77</v>
      </c>
      <c r="E47" s="1">
        <v>1638</v>
      </c>
      <c r="F47" t="s">
        <v>134</v>
      </c>
      <c r="G47" s="1">
        <v>0</v>
      </c>
      <c r="H47" t="s">
        <v>15</v>
      </c>
      <c r="I47" s="1">
        <v>624</v>
      </c>
      <c r="J47" s="1">
        <v>1022112</v>
      </c>
      <c r="K47" s="1">
        <v>1022112</v>
      </c>
      <c r="L47" t="s">
        <v>21</v>
      </c>
    </row>
    <row r="48" spans="1:12" x14ac:dyDescent="0.25">
      <c r="A48" t="s">
        <v>16</v>
      </c>
      <c r="B48" t="s">
        <v>137</v>
      </c>
      <c r="C48" t="s">
        <v>138</v>
      </c>
      <c r="D48" t="s">
        <v>139</v>
      </c>
      <c r="E48" s="1">
        <v>1</v>
      </c>
      <c r="F48" t="s">
        <v>20</v>
      </c>
      <c r="G48" s="1">
        <v>0</v>
      </c>
      <c r="H48" t="s">
        <v>15</v>
      </c>
      <c r="I48" s="1">
        <v>336000</v>
      </c>
      <c r="J48" s="1">
        <v>336000</v>
      </c>
      <c r="K48" s="1">
        <v>336000</v>
      </c>
      <c r="L48" t="s">
        <v>21</v>
      </c>
    </row>
    <row r="49" spans="1:12" x14ac:dyDescent="0.25">
      <c r="A49" t="s">
        <v>12</v>
      </c>
      <c r="B49" t="s">
        <v>140</v>
      </c>
      <c r="C49" t="s">
        <v>141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</row>
    <row r="50" spans="1:12" x14ac:dyDescent="0.25">
      <c r="A50" t="s">
        <v>68</v>
      </c>
      <c r="B50" t="s">
        <v>142</v>
      </c>
      <c r="C50" t="s">
        <v>143</v>
      </c>
      <c r="D50" t="s">
        <v>15</v>
      </c>
      <c r="E50" t="s">
        <v>15</v>
      </c>
      <c r="F50" t="s">
        <v>15</v>
      </c>
      <c r="G50" t="s">
        <v>15</v>
      </c>
      <c r="H50" s="1">
        <v>5569725</v>
      </c>
      <c r="I50" t="s">
        <v>15</v>
      </c>
      <c r="J50" s="1">
        <v>1916775</v>
      </c>
      <c r="K50" s="1">
        <v>7486500</v>
      </c>
      <c r="L50" t="s">
        <v>15</v>
      </c>
    </row>
    <row r="51" spans="1:12" x14ac:dyDescent="0.25">
      <c r="A51" t="s">
        <v>16</v>
      </c>
      <c r="B51" t="s">
        <v>144</v>
      </c>
      <c r="C51" t="s">
        <v>108</v>
      </c>
      <c r="D51" t="s">
        <v>145</v>
      </c>
      <c r="E51" s="1">
        <v>44</v>
      </c>
      <c r="F51" t="s">
        <v>74</v>
      </c>
      <c r="G51" s="1">
        <v>10609</v>
      </c>
      <c r="H51" s="1">
        <v>466796</v>
      </c>
      <c r="I51" s="1">
        <v>3651</v>
      </c>
      <c r="J51" s="1">
        <v>160644</v>
      </c>
      <c r="K51" s="1">
        <v>627440</v>
      </c>
      <c r="L51" t="s">
        <v>21</v>
      </c>
    </row>
    <row r="52" spans="1:12" x14ac:dyDescent="0.25">
      <c r="A52" t="s">
        <v>16</v>
      </c>
      <c r="B52" t="s">
        <v>146</v>
      </c>
      <c r="C52" t="s">
        <v>108</v>
      </c>
      <c r="D52" t="s">
        <v>147</v>
      </c>
      <c r="E52" s="1">
        <v>14</v>
      </c>
      <c r="F52" t="s">
        <v>74</v>
      </c>
      <c r="G52" s="1">
        <v>10609</v>
      </c>
      <c r="H52" s="1">
        <v>148526</v>
      </c>
      <c r="I52" s="1">
        <v>3651</v>
      </c>
      <c r="J52" s="1">
        <v>51114</v>
      </c>
      <c r="K52" s="1">
        <v>199640</v>
      </c>
      <c r="L52" t="s">
        <v>21</v>
      </c>
    </row>
    <row r="53" spans="1:12" x14ac:dyDescent="0.25">
      <c r="A53" t="s">
        <v>16</v>
      </c>
      <c r="B53" t="s">
        <v>148</v>
      </c>
      <c r="C53" t="s">
        <v>108</v>
      </c>
      <c r="D53" t="s">
        <v>149</v>
      </c>
      <c r="E53" s="1">
        <v>5</v>
      </c>
      <c r="F53" t="s">
        <v>74</v>
      </c>
      <c r="G53" s="1">
        <v>10609</v>
      </c>
      <c r="H53" s="1">
        <v>53045</v>
      </c>
      <c r="I53" s="1">
        <v>3651</v>
      </c>
      <c r="J53" s="1">
        <v>18255</v>
      </c>
      <c r="K53" s="1">
        <v>71300</v>
      </c>
      <c r="L53" t="s">
        <v>21</v>
      </c>
    </row>
    <row r="54" spans="1:12" x14ac:dyDescent="0.25">
      <c r="A54" t="s">
        <v>16</v>
      </c>
      <c r="B54" t="s">
        <v>150</v>
      </c>
      <c r="C54" t="s">
        <v>151</v>
      </c>
      <c r="D54" t="s">
        <v>152</v>
      </c>
      <c r="E54" s="1">
        <v>0</v>
      </c>
      <c r="F54" t="s">
        <v>15</v>
      </c>
      <c r="G54" s="1">
        <v>0</v>
      </c>
      <c r="H54" t="s">
        <v>15</v>
      </c>
      <c r="I54" s="1">
        <v>0</v>
      </c>
      <c r="J54" t="s">
        <v>15</v>
      </c>
      <c r="K54" t="s">
        <v>15</v>
      </c>
      <c r="L54" t="s">
        <v>153</v>
      </c>
    </row>
    <row r="55" spans="1:12" x14ac:dyDescent="0.25">
      <c r="A55" t="s">
        <v>16</v>
      </c>
      <c r="B55" t="s">
        <v>154</v>
      </c>
      <c r="C55" t="s">
        <v>155</v>
      </c>
      <c r="D55" t="s">
        <v>156</v>
      </c>
      <c r="E55" s="1">
        <v>234</v>
      </c>
      <c r="F55" t="s">
        <v>74</v>
      </c>
      <c r="G55" s="1">
        <v>10609</v>
      </c>
      <c r="H55" s="1">
        <v>2482506</v>
      </c>
      <c r="I55" s="1">
        <v>3651</v>
      </c>
      <c r="J55" s="1">
        <v>854334</v>
      </c>
      <c r="K55" s="1">
        <v>3336840</v>
      </c>
      <c r="L55" t="s">
        <v>21</v>
      </c>
    </row>
    <row r="56" spans="1:12" x14ac:dyDescent="0.25">
      <c r="A56" t="s">
        <v>16</v>
      </c>
      <c r="B56" t="s">
        <v>157</v>
      </c>
      <c r="C56" t="s">
        <v>158</v>
      </c>
      <c r="D56" t="s">
        <v>159</v>
      </c>
      <c r="E56" s="1">
        <v>189</v>
      </c>
      <c r="F56" t="s">
        <v>74</v>
      </c>
      <c r="G56" s="1">
        <v>10609</v>
      </c>
      <c r="H56" s="1">
        <v>2005101</v>
      </c>
      <c r="I56" s="1">
        <v>3651</v>
      </c>
      <c r="J56" s="1">
        <v>690039</v>
      </c>
      <c r="K56" s="1">
        <v>2695140</v>
      </c>
      <c r="L56" t="s">
        <v>21</v>
      </c>
    </row>
    <row r="57" spans="1:12" x14ac:dyDescent="0.25">
      <c r="A57" t="s">
        <v>16</v>
      </c>
      <c r="B57" t="s">
        <v>160</v>
      </c>
      <c r="C57" t="s">
        <v>161</v>
      </c>
      <c r="D57" t="s">
        <v>159</v>
      </c>
      <c r="E57" s="1">
        <v>39</v>
      </c>
      <c r="F57" t="s">
        <v>74</v>
      </c>
      <c r="G57" s="1">
        <v>10609</v>
      </c>
      <c r="H57" s="1">
        <v>413751</v>
      </c>
      <c r="I57" s="1">
        <v>3651</v>
      </c>
      <c r="J57" s="1">
        <v>142389</v>
      </c>
      <c r="K57" s="1">
        <v>556140</v>
      </c>
      <c r="L57" t="s">
        <v>21</v>
      </c>
    </row>
    <row r="58" spans="1:12" x14ac:dyDescent="0.25">
      <c r="A58" t="s">
        <v>68</v>
      </c>
      <c r="B58" t="s">
        <v>162</v>
      </c>
      <c r="C58" t="s">
        <v>163</v>
      </c>
      <c r="D58" t="s">
        <v>15</v>
      </c>
      <c r="E58" t="s">
        <v>15</v>
      </c>
      <c r="F58" t="s">
        <v>15</v>
      </c>
      <c r="G58" t="s">
        <v>15</v>
      </c>
      <c r="H58" s="1">
        <v>3288161</v>
      </c>
      <c r="I58" t="s">
        <v>15</v>
      </c>
      <c r="J58" s="1">
        <v>1654780</v>
      </c>
      <c r="K58" s="1">
        <v>4942941</v>
      </c>
      <c r="L58" t="s">
        <v>15</v>
      </c>
    </row>
    <row r="59" spans="1:12" x14ac:dyDescent="0.25">
      <c r="A59" t="s">
        <v>16</v>
      </c>
      <c r="B59" t="s">
        <v>164</v>
      </c>
      <c r="C59" t="s">
        <v>111</v>
      </c>
      <c r="D59" t="s">
        <v>165</v>
      </c>
      <c r="E59" s="1">
        <v>4434</v>
      </c>
      <c r="F59" t="s">
        <v>79</v>
      </c>
      <c r="G59" s="1">
        <v>76</v>
      </c>
      <c r="H59" s="1">
        <v>336984</v>
      </c>
      <c r="I59" s="1">
        <v>38</v>
      </c>
      <c r="J59" s="1">
        <v>168492</v>
      </c>
      <c r="K59" s="1">
        <v>505476</v>
      </c>
      <c r="L59" t="s">
        <v>21</v>
      </c>
    </row>
    <row r="60" spans="1:12" x14ac:dyDescent="0.25">
      <c r="A60" t="s">
        <v>16</v>
      </c>
      <c r="B60" t="s">
        <v>166</v>
      </c>
      <c r="C60" t="s">
        <v>111</v>
      </c>
      <c r="D60" t="s">
        <v>167</v>
      </c>
      <c r="E60" s="1">
        <v>246</v>
      </c>
      <c r="F60" t="s">
        <v>79</v>
      </c>
      <c r="G60" s="1">
        <v>137</v>
      </c>
      <c r="H60" s="1">
        <v>33702</v>
      </c>
      <c r="I60" s="1">
        <v>66</v>
      </c>
      <c r="J60" s="1">
        <v>16236</v>
      </c>
      <c r="K60" s="1">
        <v>49938</v>
      </c>
      <c r="L60" t="s">
        <v>21</v>
      </c>
    </row>
    <row r="61" spans="1:12" x14ac:dyDescent="0.25">
      <c r="A61" t="s">
        <v>16</v>
      </c>
      <c r="B61" t="s">
        <v>168</v>
      </c>
      <c r="C61" t="s">
        <v>111</v>
      </c>
      <c r="D61" t="s">
        <v>169</v>
      </c>
      <c r="E61" s="1">
        <v>1688</v>
      </c>
      <c r="F61" t="s">
        <v>79</v>
      </c>
      <c r="G61" s="1">
        <v>76</v>
      </c>
      <c r="H61" s="1">
        <v>128288</v>
      </c>
      <c r="I61" s="1">
        <v>38</v>
      </c>
      <c r="J61" s="1">
        <v>64144</v>
      </c>
      <c r="K61" s="1">
        <v>192432</v>
      </c>
      <c r="L61" t="s">
        <v>21</v>
      </c>
    </row>
    <row r="62" spans="1:12" x14ac:dyDescent="0.25">
      <c r="A62" t="s">
        <v>16</v>
      </c>
      <c r="B62" t="s">
        <v>170</v>
      </c>
      <c r="C62" t="s">
        <v>111</v>
      </c>
      <c r="D62" t="s">
        <v>171</v>
      </c>
      <c r="E62" s="1">
        <v>95</v>
      </c>
      <c r="F62" t="s">
        <v>79</v>
      </c>
      <c r="G62" s="1">
        <v>137</v>
      </c>
      <c r="H62" s="1">
        <v>13015</v>
      </c>
      <c r="I62" s="1">
        <v>66</v>
      </c>
      <c r="J62" s="1">
        <v>6270</v>
      </c>
      <c r="K62" s="1">
        <v>19285</v>
      </c>
      <c r="L62" t="s">
        <v>21</v>
      </c>
    </row>
    <row r="63" spans="1:12" x14ac:dyDescent="0.25">
      <c r="A63" t="s">
        <v>16</v>
      </c>
      <c r="B63" t="s">
        <v>172</v>
      </c>
      <c r="C63" t="s">
        <v>173</v>
      </c>
      <c r="D63" t="s">
        <v>174</v>
      </c>
      <c r="E63" s="1">
        <v>1225</v>
      </c>
      <c r="F63" t="s">
        <v>79</v>
      </c>
      <c r="G63" s="1">
        <v>76</v>
      </c>
      <c r="H63" s="1">
        <v>93100</v>
      </c>
      <c r="I63" s="1">
        <v>38</v>
      </c>
      <c r="J63" s="1">
        <v>46550</v>
      </c>
      <c r="K63" s="1">
        <v>139650</v>
      </c>
      <c r="L63" t="s">
        <v>21</v>
      </c>
    </row>
    <row r="64" spans="1:12" x14ac:dyDescent="0.25">
      <c r="A64" t="s">
        <v>16</v>
      </c>
      <c r="B64" t="s">
        <v>175</v>
      </c>
      <c r="C64" t="s">
        <v>173</v>
      </c>
      <c r="D64" t="s">
        <v>176</v>
      </c>
      <c r="E64" s="1">
        <v>766</v>
      </c>
      <c r="F64" t="s">
        <v>79</v>
      </c>
      <c r="G64" s="1">
        <v>75</v>
      </c>
      <c r="H64" s="1">
        <v>57450</v>
      </c>
      <c r="I64" s="1">
        <v>38</v>
      </c>
      <c r="J64" s="1">
        <v>29108</v>
      </c>
      <c r="K64" s="1">
        <v>86558</v>
      </c>
      <c r="L64" t="s">
        <v>21</v>
      </c>
    </row>
    <row r="65" spans="1:12" x14ac:dyDescent="0.25">
      <c r="A65" t="s">
        <v>16</v>
      </c>
      <c r="B65" t="s">
        <v>177</v>
      </c>
      <c r="C65" t="s">
        <v>173</v>
      </c>
      <c r="D65" t="s">
        <v>178</v>
      </c>
      <c r="E65" s="1">
        <v>111</v>
      </c>
      <c r="F65" t="s">
        <v>79</v>
      </c>
      <c r="G65" s="1">
        <v>137</v>
      </c>
      <c r="H65" s="1">
        <v>15207</v>
      </c>
      <c r="I65" s="1">
        <v>66</v>
      </c>
      <c r="J65" s="1">
        <v>7326</v>
      </c>
      <c r="K65" s="1">
        <v>22533</v>
      </c>
      <c r="L65" t="s">
        <v>21</v>
      </c>
    </row>
    <row r="66" spans="1:12" x14ac:dyDescent="0.25">
      <c r="A66" t="s">
        <v>16</v>
      </c>
      <c r="B66" t="s">
        <v>179</v>
      </c>
      <c r="C66" t="s">
        <v>173</v>
      </c>
      <c r="D66" t="s">
        <v>180</v>
      </c>
      <c r="E66" s="1">
        <v>10314</v>
      </c>
      <c r="F66" t="s">
        <v>79</v>
      </c>
      <c r="G66" s="1">
        <v>75</v>
      </c>
      <c r="H66" s="1">
        <v>773550</v>
      </c>
      <c r="I66" s="1">
        <v>38</v>
      </c>
      <c r="J66" s="1">
        <v>391932</v>
      </c>
      <c r="K66" s="1">
        <v>1165482</v>
      </c>
      <c r="L66" t="s">
        <v>21</v>
      </c>
    </row>
    <row r="67" spans="1:12" x14ac:dyDescent="0.25">
      <c r="A67" t="s">
        <v>16</v>
      </c>
      <c r="B67" t="s">
        <v>181</v>
      </c>
      <c r="C67" t="s">
        <v>173</v>
      </c>
      <c r="D67" t="s">
        <v>182</v>
      </c>
      <c r="E67" s="1">
        <v>569</v>
      </c>
      <c r="F67" t="s">
        <v>79</v>
      </c>
      <c r="G67" s="1">
        <v>137</v>
      </c>
      <c r="H67" s="1">
        <v>77953</v>
      </c>
      <c r="I67" s="1">
        <v>66</v>
      </c>
      <c r="J67" s="1">
        <v>37554</v>
      </c>
      <c r="K67" s="1">
        <v>115507</v>
      </c>
      <c r="L67" t="s">
        <v>21</v>
      </c>
    </row>
    <row r="68" spans="1:12" x14ac:dyDescent="0.25">
      <c r="A68" t="s">
        <v>16</v>
      </c>
      <c r="B68" t="s">
        <v>183</v>
      </c>
      <c r="C68" t="s">
        <v>184</v>
      </c>
      <c r="D68" t="s">
        <v>185</v>
      </c>
      <c r="E68" s="1">
        <v>17688</v>
      </c>
      <c r="F68" t="s">
        <v>79</v>
      </c>
      <c r="G68" s="1">
        <v>75</v>
      </c>
      <c r="H68" s="1">
        <v>1326600</v>
      </c>
      <c r="I68" s="1">
        <v>38</v>
      </c>
      <c r="J68" s="1">
        <v>672144</v>
      </c>
      <c r="K68" s="1">
        <v>1998744</v>
      </c>
      <c r="L68" t="s">
        <v>21</v>
      </c>
    </row>
    <row r="69" spans="1:12" x14ac:dyDescent="0.25">
      <c r="A69" t="s">
        <v>16</v>
      </c>
      <c r="B69" t="s">
        <v>186</v>
      </c>
      <c r="C69" t="s">
        <v>184</v>
      </c>
      <c r="D69" t="s">
        <v>187</v>
      </c>
      <c r="E69" s="1">
        <v>975</v>
      </c>
      <c r="F69" t="s">
        <v>79</v>
      </c>
      <c r="G69" s="1">
        <v>137</v>
      </c>
      <c r="H69" s="1">
        <v>133575</v>
      </c>
      <c r="I69" s="1">
        <v>66</v>
      </c>
      <c r="J69" s="1">
        <v>64350</v>
      </c>
      <c r="K69" s="1">
        <v>197925</v>
      </c>
      <c r="L69" t="s">
        <v>21</v>
      </c>
    </row>
    <row r="70" spans="1:12" x14ac:dyDescent="0.25">
      <c r="A70" t="s">
        <v>16</v>
      </c>
      <c r="B70" t="s">
        <v>188</v>
      </c>
      <c r="C70" t="s">
        <v>189</v>
      </c>
      <c r="D70" t="s">
        <v>185</v>
      </c>
      <c r="E70" s="1">
        <v>3616</v>
      </c>
      <c r="F70" t="s">
        <v>79</v>
      </c>
      <c r="G70" s="1">
        <v>75</v>
      </c>
      <c r="H70" s="1">
        <v>271200</v>
      </c>
      <c r="I70" s="1">
        <v>38</v>
      </c>
      <c r="J70" s="1">
        <v>137408</v>
      </c>
      <c r="K70" s="1">
        <v>408608</v>
      </c>
      <c r="L70" t="s">
        <v>21</v>
      </c>
    </row>
    <row r="71" spans="1:12" x14ac:dyDescent="0.25">
      <c r="A71" t="s">
        <v>16</v>
      </c>
      <c r="B71" t="s">
        <v>190</v>
      </c>
      <c r="C71" t="s">
        <v>189</v>
      </c>
      <c r="D71" t="s">
        <v>187</v>
      </c>
      <c r="E71" s="1">
        <v>201</v>
      </c>
      <c r="F71" t="s">
        <v>79</v>
      </c>
      <c r="G71" s="1">
        <v>137</v>
      </c>
      <c r="H71" s="1">
        <v>27537</v>
      </c>
      <c r="I71" s="1">
        <v>66</v>
      </c>
      <c r="J71" s="1">
        <v>13266</v>
      </c>
      <c r="K71" s="1">
        <v>40803</v>
      </c>
      <c r="L71" t="s">
        <v>21</v>
      </c>
    </row>
    <row r="72" spans="1:12" x14ac:dyDescent="0.25">
      <c r="A72" t="s">
        <v>68</v>
      </c>
      <c r="B72" t="s">
        <v>191</v>
      </c>
      <c r="C72" t="s">
        <v>192</v>
      </c>
      <c r="D72" t="s">
        <v>15</v>
      </c>
      <c r="E72" t="s">
        <v>15</v>
      </c>
      <c r="F72" t="s">
        <v>15</v>
      </c>
      <c r="G72" t="s">
        <v>15</v>
      </c>
      <c r="H72" s="1">
        <v>745114</v>
      </c>
      <c r="I72" t="s">
        <v>15</v>
      </c>
      <c r="J72" s="1">
        <v>737868</v>
      </c>
      <c r="K72" s="1">
        <v>1482982</v>
      </c>
      <c r="L72" t="s">
        <v>15</v>
      </c>
    </row>
    <row r="73" spans="1:12" x14ac:dyDescent="0.25">
      <c r="A73" t="s">
        <v>16</v>
      </c>
      <c r="B73" t="s">
        <v>193</v>
      </c>
      <c r="C73" t="s">
        <v>194</v>
      </c>
      <c r="D73" t="s">
        <v>195</v>
      </c>
      <c r="E73" s="1">
        <v>9</v>
      </c>
      <c r="F73" t="s">
        <v>84</v>
      </c>
      <c r="G73" s="1">
        <v>681</v>
      </c>
      <c r="H73" s="1">
        <v>6129</v>
      </c>
      <c r="I73" s="1">
        <v>731</v>
      </c>
      <c r="J73" s="1">
        <v>6579</v>
      </c>
      <c r="K73" s="1">
        <v>12708</v>
      </c>
      <c r="L73" t="s">
        <v>21</v>
      </c>
    </row>
    <row r="74" spans="1:12" x14ac:dyDescent="0.25">
      <c r="A74" t="s">
        <v>16</v>
      </c>
      <c r="B74" t="s">
        <v>196</v>
      </c>
      <c r="C74" t="s">
        <v>194</v>
      </c>
      <c r="D74" t="s">
        <v>197</v>
      </c>
      <c r="E74" s="1">
        <v>5</v>
      </c>
      <c r="F74" t="s">
        <v>84</v>
      </c>
      <c r="G74" s="1">
        <v>681</v>
      </c>
      <c r="H74" s="1">
        <v>3405</v>
      </c>
      <c r="I74" s="1">
        <v>731</v>
      </c>
      <c r="J74" s="1">
        <v>3655</v>
      </c>
      <c r="K74" s="1">
        <v>7060</v>
      </c>
      <c r="L74" t="s">
        <v>21</v>
      </c>
    </row>
    <row r="75" spans="1:12" x14ac:dyDescent="0.25">
      <c r="A75" t="s">
        <v>16</v>
      </c>
      <c r="B75" t="s">
        <v>198</v>
      </c>
      <c r="C75" t="s">
        <v>194</v>
      </c>
      <c r="D75" t="s">
        <v>199</v>
      </c>
      <c r="E75" s="1">
        <v>34</v>
      </c>
      <c r="F75" t="s">
        <v>84</v>
      </c>
      <c r="G75" s="1">
        <v>681</v>
      </c>
      <c r="H75" s="1">
        <v>23154</v>
      </c>
      <c r="I75" s="1">
        <v>731</v>
      </c>
      <c r="J75" s="1">
        <v>24854</v>
      </c>
      <c r="K75" s="1">
        <v>48008</v>
      </c>
      <c r="L75" t="s">
        <v>21</v>
      </c>
    </row>
    <row r="76" spans="1:12" x14ac:dyDescent="0.25">
      <c r="A76" t="s">
        <v>16</v>
      </c>
      <c r="B76" t="s">
        <v>200</v>
      </c>
      <c r="C76" t="s">
        <v>201</v>
      </c>
      <c r="D76" t="s">
        <v>202</v>
      </c>
      <c r="E76" s="1">
        <v>1716</v>
      </c>
      <c r="F76" t="s">
        <v>84</v>
      </c>
      <c r="G76" s="1">
        <v>69</v>
      </c>
      <c r="H76" s="1">
        <v>118404</v>
      </c>
      <c r="I76" s="1">
        <v>38</v>
      </c>
      <c r="J76" s="1">
        <v>65208</v>
      </c>
      <c r="K76" s="1">
        <v>183612</v>
      </c>
      <c r="L76" t="s">
        <v>21</v>
      </c>
    </row>
    <row r="77" spans="1:12" x14ac:dyDescent="0.25">
      <c r="A77" t="s">
        <v>16</v>
      </c>
      <c r="B77" t="s">
        <v>203</v>
      </c>
      <c r="C77" t="s">
        <v>204</v>
      </c>
      <c r="D77" t="s">
        <v>205</v>
      </c>
      <c r="E77" s="1">
        <v>1467</v>
      </c>
      <c r="F77" t="s">
        <v>84</v>
      </c>
      <c r="G77" s="1">
        <v>341</v>
      </c>
      <c r="H77" s="1">
        <v>500247</v>
      </c>
      <c r="I77" s="1">
        <v>366</v>
      </c>
      <c r="J77" s="1">
        <v>536922</v>
      </c>
      <c r="K77" s="1">
        <v>1037169</v>
      </c>
      <c r="L77" t="s">
        <v>21</v>
      </c>
    </row>
    <row r="78" spans="1:12" x14ac:dyDescent="0.25">
      <c r="A78" t="s">
        <v>16</v>
      </c>
      <c r="B78" t="s">
        <v>206</v>
      </c>
      <c r="C78" t="s">
        <v>207</v>
      </c>
      <c r="D78" t="s">
        <v>205</v>
      </c>
      <c r="E78" s="1">
        <v>275</v>
      </c>
      <c r="F78" t="s">
        <v>84</v>
      </c>
      <c r="G78" s="1">
        <v>341</v>
      </c>
      <c r="H78" s="1">
        <v>93775</v>
      </c>
      <c r="I78" s="1">
        <v>366</v>
      </c>
      <c r="J78" s="1">
        <v>100650</v>
      </c>
      <c r="K78" s="1">
        <v>194425</v>
      </c>
      <c r="L78" t="s">
        <v>21</v>
      </c>
    </row>
  </sheetData>
  <phoneticPr fontId="1" type="noConversion"/>
  <pageMargins left="0.7" right="0.7" top="0.75" bottom="0.75" header="0.3" footer="0.3"/>
  <pageSetup orientation="portrait" r:id="rId1"/>
  <ignoredErrors>
    <ignoredError sqref="A1:L22 A28:L78 F24:G24 A23:B23 F26 B26 F23 H23:L23 L26 L24 A24:B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Bill of Quantity</dc:title>
  <dc:subject>BOQ export compatible with BOQ Excel import</dc:subject>
  <cp:lastModifiedBy>virtron bumal-o</cp:lastModifiedBy>
  <dcterms:created xsi:type="dcterms:W3CDTF">2026-09-10T03:31:52Z</dcterms:created>
  <dcterms:modified xsi:type="dcterms:W3CDTF">2026-09-24T09:18:41Z</dcterms:modified>
</cp:coreProperties>
</file>